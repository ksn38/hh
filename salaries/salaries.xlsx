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69" windowWidth="22149" windowHeight="9531" activeTab="2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_2024_02_04" localSheetId="0">Лист1!$A$1:$F$32</definedName>
    <definedName name="_2024_02_04" localSheetId="2">Лист3!$A$1:$F$21</definedName>
    <definedName name="_2024_07_01" localSheetId="1">Лист2!$A$1:$F$32</definedName>
    <definedName name="_2024_07_01" localSheetId="3">Лист4!$A$1:$F$21</definedName>
    <definedName name="_xlnm._FilterDatabase" localSheetId="0" hidden="1">Лист1!$A$1:$L$1</definedName>
    <definedName name="_xlnm._FilterDatabase" localSheetId="1" hidden="1">Лист2!$A$1:$F$1</definedName>
    <definedName name="_xlnm._FilterDatabase" localSheetId="2" hidden="1">Лист3!$A$1:$L$1</definedName>
    <definedName name="_xlnm._FilterDatabase" localSheetId="3" hidden="1">Лист4!$A$1:$F$1</definedName>
  </definedNames>
  <calcPr calcId="124519"/>
</workbook>
</file>

<file path=xl/calcChain.xml><?xml version="1.0" encoding="utf-8"?>
<calcChain xmlns="http://schemas.openxmlformats.org/spreadsheetml/2006/main">
  <c r="L24" i="1"/>
  <c r="L4"/>
  <c r="L9"/>
  <c r="L16"/>
  <c r="L5"/>
  <c r="L3"/>
  <c r="L18"/>
  <c r="L10"/>
  <c r="L26"/>
  <c r="L6"/>
  <c r="L20"/>
  <c r="L12"/>
  <c r="L21"/>
  <c r="L13"/>
  <c r="L22"/>
  <c r="L27"/>
  <c r="L7"/>
  <c r="L11"/>
  <c r="L23"/>
  <c r="L8"/>
  <c r="L14"/>
  <c r="L30"/>
  <c r="L31"/>
  <c r="L25"/>
  <c r="L29"/>
  <c r="L15"/>
  <c r="L19"/>
  <c r="L32"/>
  <c r="L17"/>
  <c r="L28"/>
  <c r="L2"/>
  <c r="L6" i="3"/>
  <c r="L8"/>
  <c r="L3"/>
  <c r="L7"/>
  <c r="L15"/>
  <c r="L4"/>
  <c r="L17"/>
  <c r="L19"/>
  <c r="L11"/>
  <c r="L9"/>
  <c r="L5"/>
  <c r="L13"/>
  <c r="L12"/>
  <c r="L16"/>
  <c r="L21"/>
  <c r="L10"/>
  <c r="L20"/>
  <c r="L14"/>
  <c r="L18"/>
  <c r="L2"/>
  <c r="I26" i="1" l="1"/>
  <c r="I24"/>
  <c r="I19" i="3"/>
  <c r="I13"/>
  <c r="I21"/>
  <c r="I10"/>
  <c r="I3"/>
  <c r="I2"/>
  <c r="I5"/>
  <c r="I7"/>
  <c r="I14"/>
  <c r="I8"/>
  <c r="I11"/>
  <c r="I9"/>
  <c r="I16"/>
  <c r="I18"/>
  <c r="I17"/>
  <c r="I20"/>
  <c r="I15"/>
  <c r="I4"/>
  <c r="I6"/>
  <c r="I12"/>
  <c r="I2" i="1"/>
  <c r="I21"/>
  <c r="I10"/>
  <c r="I15"/>
  <c r="I16"/>
  <c r="I18"/>
  <c r="I30"/>
  <c r="I23"/>
  <c r="I8"/>
  <c r="I4"/>
  <c r="I29"/>
  <c r="I20"/>
  <c r="I25"/>
  <c r="I6"/>
  <c r="I9"/>
  <c r="I32"/>
  <c r="I17"/>
  <c r="I7"/>
  <c r="I31"/>
  <c r="I5"/>
  <c r="I12"/>
  <c r="I14"/>
  <c r="I19"/>
  <c r="I28"/>
  <c r="I13"/>
  <c r="I3"/>
  <c r="I22"/>
  <c r="I27"/>
  <c r="I11"/>
</calcChain>
</file>

<file path=xl/connections.xml><?xml version="1.0" encoding="utf-8"?>
<connections xmlns="http://schemas.openxmlformats.org/spreadsheetml/2006/main">
  <connection id="1" name="2024-02-04" type="6" refreshedVersion="4" background="1" saveData="1">
    <textPr codePage="65001" sourceFile="D:\Temp\M\hh\salaries\profs\2024-02-04.csv" decimal="," thousands=" " tab="0" comma="1">
      <textFields count="6">
        <textField/>
        <textField/>
        <textField/>
        <textField/>
        <textField/>
        <textField/>
      </textFields>
    </textPr>
  </connection>
  <connection id="2" name="2024-02-041" type="6" refreshedVersion="4" background="1" saveData="1">
    <textPr codePage="65001" sourceFile="D:\Temp\M\hh\salaries\langs\2024-02-04.csv" decimal="," thousands=" " comma="1">
      <textFields count="6">
        <textField/>
        <textField/>
        <textField/>
        <textField/>
        <textField/>
        <textField/>
      </textFields>
    </textPr>
  </connection>
  <connection id="3" name="2024-07-01" type="6" refreshedVersion="4" background="1" saveData="1">
    <textPr codePage="65001" sourceFile="D:\Temp\M\hh\salaries\profs\2024-07-01.csv" decimal="," thousands=" " comma="1">
      <textFields count="6">
        <textField/>
        <textField/>
        <textField/>
        <textField/>
        <textField/>
        <textField/>
      </textFields>
    </textPr>
  </connection>
  <connection id="4" name="2024-07-011" type="6" refreshedVersion="4" background="1" saveData="1">
    <textPr codePage="65001" sourceFile="D:\Temp\M\hh\salaries\langs\2024-07-01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<sst xmlns="http://schemas.openxmlformats.org/spreadsheetml/2006/main" count="153" uniqueCount="81">
  <si>
    <t>noExperience</t>
  </si>
  <si>
    <t>between1And3</t>
  </si>
  <si>
    <t>between3And6</t>
  </si>
  <si>
    <t>moreThan6</t>
  </si>
  <si>
    <t>mean</t>
  </si>
  <si>
    <t>программист</t>
  </si>
  <si>
    <t>токарь</t>
  </si>
  <si>
    <t>машинист</t>
  </si>
  <si>
    <t>директор</t>
  </si>
  <si>
    <t>нефть</t>
  </si>
  <si>
    <t>115000.0</t>
  </si>
  <si>
    <t>инженер</t>
  </si>
  <si>
    <t>сварщик</t>
  </si>
  <si>
    <t>чпу</t>
  </si>
  <si>
    <t>95000.0</t>
  </si>
  <si>
    <t>врач</t>
  </si>
  <si>
    <t>менеджер</t>
  </si>
  <si>
    <t>слесарь</t>
  </si>
  <si>
    <t>80000.0</t>
  </si>
  <si>
    <t>повар</t>
  </si>
  <si>
    <t>водитель</t>
  </si>
  <si>
    <t>юрист</t>
  </si>
  <si>
    <t>электрик</t>
  </si>
  <si>
    <t>финансист</t>
  </si>
  <si>
    <t>курьер</t>
  </si>
  <si>
    <t>бухгалтер</t>
  </si>
  <si>
    <t>комплектовщик</t>
  </si>
  <si>
    <t>60000.0</t>
  </si>
  <si>
    <t>сантехник</t>
  </si>
  <si>
    <t>57500.0</t>
  </si>
  <si>
    <t>тракторист</t>
  </si>
  <si>
    <t>разнорабочий</t>
  </si>
  <si>
    <t>матрос</t>
  </si>
  <si>
    <t>медсестра</t>
  </si>
  <si>
    <t>охранник</t>
  </si>
  <si>
    <t>52500.0</t>
  </si>
  <si>
    <t>продавец</t>
  </si>
  <si>
    <t>50000.0</t>
  </si>
  <si>
    <t>дворник</t>
  </si>
  <si>
    <t>уборщица</t>
  </si>
  <si>
    <t>психолог</t>
  </si>
  <si>
    <t>учитель</t>
  </si>
  <si>
    <t>санитарка</t>
  </si>
  <si>
    <t>185000.0</t>
  </si>
  <si>
    <t>150000.0</t>
  </si>
  <si>
    <t>125000.0</t>
  </si>
  <si>
    <t>118500.0</t>
  </si>
  <si>
    <t>93410.0</t>
  </si>
  <si>
    <t>90000.0</t>
  </si>
  <si>
    <t>87500.0</t>
  </si>
  <si>
    <t>73250.0</t>
  </si>
  <si>
    <t>72500.0</t>
  </si>
  <si>
    <t>71000.0</t>
  </si>
  <si>
    <t>70000.0</t>
  </si>
  <si>
    <t>68600.0</t>
  </si>
  <si>
    <t>64500.0</t>
  </si>
  <si>
    <t>64000.0</t>
  </si>
  <si>
    <t>57825.0</t>
  </si>
  <si>
    <t>55000.0</t>
  </si>
  <si>
    <t>47314.0</t>
  </si>
  <si>
    <t>38425.0</t>
  </si>
  <si>
    <t>Data scientist</t>
  </si>
  <si>
    <t>Scala</t>
  </si>
  <si>
    <t>Golang</t>
  </si>
  <si>
    <t>Data engineer</t>
  </si>
  <si>
    <t>DevOps</t>
  </si>
  <si>
    <t>Ruby</t>
  </si>
  <si>
    <t>Rust</t>
  </si>
  <si>
    <t>Python</t>
  </si>
  <si>
    <t>ABAP</t>
  </si>
  <si>
    <t>iOS</t>
  </si>
  <si>
    <t>Java</t>
  </si>
  <si>
    <t>DBA</t>
  </si>
  <si>
    <t>Android</t>
  </si>
  <si>
    <t>Javascript</t>
  </si>
  <si>
    <t>1С программист</t>
  </si>
  <si>
    <t>C%23</t>
  </si>
  <si>
    <t>QA</t>
  </si>
  <si>
    <t>c%2B%2B</t>
  </si>
  <si>
    <t>Frontend</t>
  </si>
  <si>
    <t>php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</si>
</sst>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2024-02-04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024-07-0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2024-02-04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2024-07-01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opLeftCell="A7" workbookViewId="0">
      <selection activeCell="M18" sqref="M18"/>
    </sheetView>
  </sheetViews>
  <sheetFormatPr defaultRowHeight="14.6"/>
  <cols>
    <col min="1" max="1" width="14.69140625" bestFit="1" customWidth="1"/>
    <col min="2" max="2" width="12" bestFit="1" customWidth="1"/>
    <col min="3" max="4" width="13.3046875" bestFit="1" customWidth="1"/>
    <col min="5" max="5" width="10.3046875" bestFit="1" customWidth="1"/>
    <col min="6" max="6" width="8.53515625" bestFit="1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>
      <c r="A2" t="s">
        <v>6</v>
      </c>
      <c r="B2">
        <v>54000</v>
      </c>
      <c r="C2">
        <v>140000</v>
      </c>
      <c r="D2">
        <v>140000</v>
      </c>
      <c r="E2">
        <v>100000</v>
      </c>
      <c r="F2">
        <v>140000</v>
      </c>
      <c r="G2">
        <v>185000</v>
      </c>
      <c r="I2" s="1">
        <f>(G2-F2)*100/F2</f>
        <v>32.142857142857146</v>
      </c>
      <c r="J2">
        <v>1</v>
      </c>
      <c r="K2">
        <v>1</v>
      </c>
      <c r="L2">
        <f>J2+K2</f>
        <v>2</v>
      </c>
    </row>
    <row r="3" spans="1:12">
      <c r="A3" t="s">
        <v>13</v>
      </c>
      <c r="B3">
        <v>55000</v>
      </c>
      <c r="C3">
        <v>90000</v>
      </c>
      <c r="D3">
        <v>100000</v>
      </c>
      <c r="E3">
        <v>110000</v>
      </c>
      <c r="F3">
        <v>95000</v>
      </c>
      <c r="G3">
        <v>115000</v>
      </c>
      <c r="I3" s="1">
        <f>(G3-F3)*100/F3</f>
        <v>21.05263157894737</v>
      </c>
      <c r="J3">
        <v>4</v>
      </c>
      <c r="K3">
        <v>6</v>
      </c>
      <c r="L3">
        <f>J3+K3</f>
        <v>10</v>
      </c>
    </row>
    <row r="4" spans="1:12">
      <c r="A4" t="s">
        <v>7</v>
      </c>
      <c r="B4">
        <v>60000</v>
      </c>
      <c r="C4">
        <v>120000</v>
      </c>
      <c r="D4">
        <v>150000</v>
      </c>
      <c r="E4">
        <v>150000</v>
      </c>
      <c r="F4">
        <v>135000</v>
      </c>
      <c r="G4">
        <v>150000</v>
      </c>
      <c r="I4" s="1">
        <f>(G4-F4)*100/F4</f>
        <v>11.111111111111111</v>
      </c>
      <c r="J4">
        <v>14</v>
      </c>
      <c r="K4">
        <v>2</v>
      </c>
      <c r="L4">
        <f>J4+K4</f>
        <v>16</v>
      </c>
    </row>
    <row r="5" spans="1:12">
      <c r="A5" t="s">
        <v>12</v>
      </c>
      <c r="B5">
        <v>60000</v>
      </c>
      <c r="C5">
        <v>90000</v>
      </c>
      <c r="D5">
        <v>120000</v>
      </c>
      <c r="E5">
        <v>100000</v>
      </c>
      <c r="F5">
        <v>105000</v>
      </c>
      <c r="G5">
        <v>118500</v>
      </c>
      <c r="I5" s="1">
        <f>(G5-F5)*100/F5</f>
        <v>12.857142857142858</v>
      </c>
      <c r="J5">
        <v>11</v>
      </c>
      <c r="K5">
        <v>5</v>
      </c>
      <c r="L5">
        <f>J5+K5</f>
        <v>16</v>
      </c>
    </row>
    <row r="6" spans="1:12">
      <c r="A6" t="s">
        <v>19</v>
      </c>
      <c r="B6">
        <v>50000</v>
      </c>
      <c r="C6">
        <v>70000</v>
      </c>
      <c r="D6">
        <v>88000</v>
      </c>
      <c r="E6">
        <v>100000</v>
      </c>
      <c r="F6">
        <v>79000</v>
      </c>
      <c r="G6">
        <v>90000</v>
      </c>
      <c r="I6" s="1">
        <f>(G6-F6)*100/F6</f>
        <v>13.924050632911392</v>
      </c>
      <c r="J6">
        <v>9</v>
      </c>
      <c r="K6">
        <v>10</v>
      </c>
      <c r="L6">
        <f>J6+K6</f>
        <v>19</v>
      </c>
    </row>
    <row r="7" spans="1:12">
      <c r="A7" t="s">
        <v>31</v>
      </c>
      <c r="B7">
        <v>75000</v>
      </c>
      <c r="C7">
        <v>55000</v>
      </c>
      <c r="D7">
        <v>55500</v>
      </c>
      <c r="E7">
        <v>45000</v>
      </c>
      <c r="F7">
        <v>55250</v>
      </c>
      <c r="G7">
        <v>70000</v>
      </c>
      <c r="I7" s="1">
        <f>(G7-F7)*100/F7</f>
        <v>26.696832579185521</v>
      </c>
      <c r="J7">
        <v>2</v>
      </c>
      <c r="K7">
        <v>17</v>
      </c>
      <c r="L7">
        <f>J7+K7</f>
        <v>19</v>
      </c>
    </row>
    <row r="8" spans="1:12">
      <c r="A8" t="s">
        <v>32</v>
      </c>
      <c r="B8">
        <v>40500</v>
      </c>
      <c r="C8">
        <v>50000</v>
      </c>
      <c r="D8">
        <v>58500</v>
      </c>
      <c r="F8">
        <v>54250</v>
      </c>
      <c r="G8">
        <v>68600</v>
      </c>
      <c r="I8" s="1">
        <f>(G8-F8)*100/F8</f>
        <v>26.451612903225808</v>
      </c>
      <c r="J8">
        <v>3</v>
      </c>
      <c r="K8">
        <v>20</v>
      </c>
      <c r="L8">
        <f>J8+K8</f>
        <v>23</v>
      </c>
    </row>
    <row r="9" spans="1:12">
      <c r="A9" t="s">
        <v>5</v>
      </c>
      <c r="B9">
        <v>50000</v>
      </c>
      <c r="C9">
        <v>100000</v>
      </c>
      <c r="D9">
        <v>180000</v>
      </c>
      <c r="E9">
        <v>200000</v>
      </c>
      <c r="F9">
        <v>140000</v>
      </c>
      <c r="G9">
        <v>150000</v>
      </c>
      <c r="I9" s="1">
        <f>(G9-F9)*100/F9</f>
        <v>7.1428571428571432</v>
      </c>
      <c r="J9">
        <v>22</v>
      </c>
      <c r="K9">
        <v>3</v>
      </c>
      <c r="L9">
        <f>J9+K9</f>
        <v>25</v>
      </c>
    </row>
    <row r="10" spans="1:12">
      <c r="A10" t="s">
        <v>15</v>
      </c>
      <c r="B10">
        <v>50000</v>
      </c>
      <c r="C10">
        <v>75150</v>
      </c>
      <c r="D10">
        <v>100000</v>
      </c>
      <c r="E10">
        <v>100000</v>
      </c>
      <c r="F10">
        <v>87575</v>
      </c>
      <c r="G10">
        <v>95000</v>
      </c>
      <c r="I10" s="1">
        <f>(G10-F10)*100/F10</f>
        <v>8.4784470453896663</v>
      </c>
      <c r="J10">
        <v>19</v>
      </c>
      <c r="K10">
        <v>8</v>
      </c>
      <c r="L10">
        <f>J10+K10</f>
        <v>27</v>
      </c>
    </row>
    <row r="11" spans="1:12">
      <c r="A11" t="s">
        <v>25</v>
      </c>
      <c r="B11">
        <v>40400</v>
      </c>
      <c r="C11">
        <v>53000</v>
      </c>
      <c r="D11">
        <v>70000</v>
      </c>
      <c r="E11">
        <v>90000</v>
      </c>
      <c r="F11">
        <v>61500</v>
      </c>
      <c r="G11">
        <v>70000</v>
      </c>
      <c r="I11" s="1">
        <f>(G11-F11)*100/F11</f>
        <v>13.821138211382113</v>
      </c>
      <c r="J11">
        <v>10</v>
      </c>
      <c r="K11">
        <v>18</v>
      </c>
      <c r="L11">
        <f>J11+K11</f>
        <v>28</v>
      </c>
    </row>
    <row r="12" spans="1:12">
      <c r="A12" t="s">
        <v>17</v>
      </c>
      <c r="B12">
        <v>60000</v>
      </c>
      <c r="C12">
        <v>80000</v>
      </c>
      <c r="D12">
        <v>80000</v>
      </c>
      <c r="E12">
        <v>60000</v>
      </c>
      <c r="F12">
        <v>80000</v>
      </c>
      <c r="G12">
        <v>87500</v>
      </c>
      <c r="I12" s="1">
        <f>(G12-F12)*100/F12</f>
        <v>9.375</v>
      </c>
      <c r="J12">
        <v>17</v>
      </c>
      <c r="K12">
        <v>12</v>
      </c>
      <c r="L12">
        <f>J12+K12</f>
        <v>29</v>
      </c>
    </row>
    <row r="13" spans="1:12">
      <c r="A13" t="s">
        <v>23</v>
      </c>
      <c r="B13">
        <v>40000</v>
      </c>
      <c r="C13">
        <v>53500</v>
      </c>
      <c r="D13">
        <v>80000</v>
      </c>
      <c r="E13">
        <v>90000</v>
      </c>
      <c r="F13">
        <v>66750</v>
      </c>
      <c r="G13">
        <v>73250</v>
      </c>
      <c r="I13" s="1">
        <f>(G13-F13)*100/F13</f>
        <v>9.7378277153558059</v>
      </c>
      <c r="J13">
        <v>16</v>
      </c>
      <c r="K13">
        <v>14</v>
      </c>
      <c r="L13">
        <f>J13+K13</f>
        <v>30</v>
      </c>
    </row>
    <row r="14" spans="1:12">
      <c r="A14" t="s">
        <v>30</v>
      </c>
      <c r="B14">
        <v>50000</v>
      </c>
      <c r="C14">
        <v>60000</v>
      </c>
      <c r="D14">
        <v>55000</v>
      </c>
      <c r="E14">
        <v>60000</v>
      </c>
      <c r="F14">
        <v>57500</v>
      </c>
      <c r="G14">
        <v>64500</v>
      </c>
      <c r="I14" s="1">
        <f>(G14-F14)*100/F14</f>
        <v>12.173913043478262</v>
      </c>
      <c r="J14">
        <v>12</v>
      </c>
      <c r="K14">
        <v>21</v>
      </c>
      <c r="L14">
        <f>J14+K14</f>
        <v>33</v>
      </c>
    </row>
    <row r="15" spans="1:12">
      <c r="A15" t="s">
        <v>38</v>
      </c>
      <c r="B15">
        <v>30000</v>
      </c>
      <c r="C15">
        <v>38000</v>
      </c>
      <c r="D15">
        <v>57500</v>
      </c>
      <c r="E15">
        <v>110000</v>
      </c>
      <c r="F15">
        <v>47750</v>
      </c>
      <c r="G15">
        <v>55000</v>
      </c>
      <c r="I15" s="1">
        <f>(G15-F15)*100/F15</f>
        <v>15.183246073298429</v>
      </c>
      <c r="J15">
        <v>7</v>
      </c>
      <c r="K15">
        <v>26</v>
      </c>
      <c r="L15">
        <f>J15+K15</f>
        <v>33</v>
      </c>
    </row>
    <row r="16" spans="1:12">
      <c r="A16" t="s">
        <v>8</v>
      </c>
      <c r="B16">
        <v>50000</v>
      </c>
      <c r="C16">
        <v>90000</v>
      </c>
      <c r="D16">
        <v>150000</v>
      </c>
      <c r="E16">
        <v>170000</v>
      </c>
      <c r="F16">
        <v>120000</v>
      </c>
      <c r="G16">
        <v>125000</v>
      </c>
      <c r="I16" s="1">
        <f>(G16-F16)*100/F16</f>
        <v>4.166666666666667</v>
      </c>
      <c r="J16">
        <v>30</v>
      </c>
      <c r="K16">
        <v>4</v>
      </c>
      <c r="L16">
        <f>J16+K16</f>
        <v>34</v>
      </c>
    </row>
    <row r="17" spans="1:12">
      <c r="A17" t="s">
        <v>40</v>
      </c>
      <c r="B17">
        <v>30000</v>
      </c>
      <c r="C17">
        <v>35000</v>
      </c>
      <c r="D17">
        <v>50000</v>
      </c>
      <c r="E17">
        <v>45000</v>
      </c>
      <c r="F17">
        <v>42500</v>
      </c>
      <c r="G17">
        <v>50000</v>
      </c>
      <c r="I17" s="1">
        <f>(G17-F17)*100/F17</f>
        <v>17.647058823529413</v>
      </c>
      <c r="J17">
        <v>5</v>
      </c>
      <c r="K17">
        <v>29</v>
      </c>
      <c r="L17">
        <f>J17+K17</f>
        <v>34</v>
      </c>
    </row>
    <row r="18" spans="1:12">
      <c r="A18" t="s">
        <v>11</v>
      </c>
      <c r="B18">
        <v>60000</v>
      </c>
      <c r="C18">
        <v>100000</v>
      </c>
      <c r="D18">
        <v>120000</v>
      </c>
      <c r="E18">
        <v>120000</v>
      </c>
      <c r="F18">
        <v>110000</v>
      </c>
      <c r="G18">
        <v>115000</v>
      </c>
      <c r="I18" s="1">
        <f>(G18-F18)*100/F18</f>
        <v>4.5454545454545459</v>
      </c>
      <c r="J18">
        <v>28</v>
      </c>
      <c r="K18">
        <v>7</v>
      </c>
      <c r="L18">
        <f>J18+K18</f>
        <v>35</v>
      </c>
    </row>
    <row r="19" spans="1:12">
      <c r="A19" t="s">
        <v>39</v>
      </c>
      <c r="B19">
        <v>30000</v>
      </c>
      <c r="C19">
        <v>38000</v>
      </c>
      <c r="D19">
        <v>57500</v>
      </c>
      <c r="E19">
        <v>110000</v>
      </c>
      <c r="F19">
        <v>47750</v>
      </c>
      <c r="G19">
        <v>55000</v>
      </c>
      <c r="I19" s="1">
        <f>(G19-F19)*100/F19</f>
        <v>15.183246073298429</v>
      </c>
      <c r="J19">
        <v>8</v>
      </c>
      <c r="K19">
        <v>27</v>
      </c>
      <c r="L19">
        <f>J19+K19</f>
        <v>35</v>
      </c>
    </row>
    <row r="20" spans="1:12">
      <c r="A20" t="s">
        <v>16</v>
      </c>
      <c r="B20">
        <v>50000</v>
      </c>
      <c r="C20">
        <v>70000</v>
      </c>
      <c r="D20">
        <v>100000</v>
      </c>
      <c r="E20">
        <v>100000</v>
      </c>
      <c r="F20">
        <v>85000</v>
      </c>
      <c r="G20">
        <v>90000</v>
      </c>
      <c r="I20" s="1">
        <f>(G20-F20)*100/F20</f>
        <v>5.882352941176471</v>
      </c>
      <c r="J20">
        <v>25</v>
      </c>
      <c r="K20">
        <v>11</v>
      </c>
      <c r="L20">
        <f>J20+K20</f>
        <v>36</v>
      </c>
    </row>
    <row r="21" spans="1:12">
      <c r="A21" t="s">
        <v>20</v>
      </c>
      <c r="B21">
        <v>80000</v>
      </c>
      <c r="C21">
        <v>75000</v>
      </c>
      <c r="D21">
        <v>74606</v>
      </c>
      <c r="E21">
        <v>80000</v>
      </c>
      <c r="F21">
        <v>74803</v>
      </c>
      <c r="G21">
        <v>80000</v>
      </c>
      <c r="I21" s="1">
        <f>(G21-F21)*100/F21</f>
        <v>6.9475823162172636</v>
      </c>
      <c r="J21">
        <v>23</v>
      </c>
      <c r="K21">
        <v>13</v>
      </c>
      <c r="L21">
        <f>J21+K21</f>
        <v>36</v>
      </c>
    </row>
    <row r="22" spans="1:12">
      <c r="A22" t="s">
        <v>22</v>
      </c>
      <c r="B22">
        <v>60000</v>
      </c>
      <c r="C22">
        <v>65000</v>
      </c>
      <c r="D22">
        <v>70000</v>
      </c>
      <c r="E22">
        <v>60000</v>
      </c>
      <c r="F22">
        <v>67500</v>
      </c>
      <c r="G22">
        <v>72500</v>
      </c>
      <c r="I22" s="1">
        <f>(G22-F22)*100/F22</f>
        <v>7.4074074074074074</v>
      </c>
      <c r="J22">
        <v>21</v>
      </c>
      <c r="K22">
        <v>15</v>
      </c>
      <c r="L22">
        <f>J22+K22</f>
        <v>36</v>
      </c>
    </row>
    <row r="23" spans="1:12">
      <c r="A23" t="s">
        <v>24</v>
      </c>
      <c r="B23">
        <v>70000</v>
      </c>
      <c r="C23">
        <v>60000</v>
      </c>
      <c r="D23">
        <v>68008</v>
      </c>
      <c r="E23">
        <v>51000</v>
      </c>
      <c r="F23">
        <v>64004</v>
      </c>
      <c r="G23">
        <v>70000</v>
      </c>
      <c r="I23" s="1">
        <f>(G23-F23)*100/F23</f>
        <v>9.3681644897193923</v>
      </c>
      <c r="J23">
        <v>18</v>
      </c>
      <c r="K23">
        <v>19</v>
      </c>
      <c r="L23">
        <f>J23+K23</f>
        <v>37</v>
      </c>
    </row>
    <row r="24" spans="1:12">
      <c r="A24" t="s">
        <v>42</v>
      </c>
      <c r="B24">
        <v>30000</v>
      </c>
      <c r="C24">
        <v>35500</v>
      </c>
      <c r="D24">
        <v>30000</v>
      </c>
      <c r="E24">
        <v>85000</v>
      </c>
      <c r="F24">
        <v>32750</v>
      </c>
      <c r="G24">
        <v>38425</v>
      </c>
      <c r="I24" s="1">
        <f>(G24-F24)*100/F24</f>
        <v>17.328244274809162</v>
      </c>
      <c r="J24">
        <v>6</v>
      </c>
      <c r="K24">
        <v>31</v>
      </c>
      <c r="L24">
        <f>J24+K24</f>
        <v>37</v>
      </c>
    </row>
    <row r="25" spans="1:12">
      <c r="A25" t="s">
        <v>34</v>
      </c>
      <c r="B25">
        <v>42000</v>
      </c>
      <c r="C25">
        <v>45000</v>
      </c>
      <c r="D25">
        <v>60000</v>
      </c>
      <c r="E25">
        <v>90000</v>
      </c>
      <c r="F25">
        <v>52500</v>
      </c>
      <c r="G25">
        <v>57825</v>
      </c>
      <c r="I25" s="1">
        <f>(G25-F25)*100/F25</f>
        <v>10.142857142857142</v>
      </c>
      <c r="J25">
        <v>15</v>
      </c>
      <c r="K25">
        <v>24</v>
      </c>
      <c r="L25">
        <f>J25+K25</f>
        <v>39</v>
      </c>
    </row>
    <row r="26" spans="1:12">
      <c r="A26" t="s">
        <v>9</v>
      </c>
      <c r="B26">
        <v>48000</v>
      </c>
      <c r="C26">
        <v>90000</v>
      </c>
      <c r="D26">
        <v>140000</v>
      </c>
      <c r="E26">
        <v>91565</v>
      </c>
      <c r="F26">
        <v>115000</v>
      </c>
      <c r="G26">
        <v>93410</v>
      </c>
      <c r="I26" s="1">
        <f>(G26-F26)*100/F26</f>
        <v>-18.77391304347826</v>
      </c>
      <c r="J26">
        <v>31</v>
      </c>
      <c r="K26">
        <v>9</v>
      </c>
      <c r="L26">
        <f>J26+K26</f>
        <v>40</v>
      </c>
    </row>
    <row r="27" spans="1:12">
      <c r="A27" t="s">
        <v>21</v>
      </c>
      <c r="B27">
        <v>40000</v>
      </c>
      <c r="C27">
        <v>60000</v>
      </c>
      <c r="D27">
        <v>75000</v>
      </c>
      <c r="E27">
        <v>80250</v>
      </c>
      <c r="F27">
        <v>67500</v>
      </c>
      <c r="G27">
        <v>71000</v>
      </c>
      <c r="I27" s="1">
        <f>(G27-F27)*100/F27</f>
        <v>5.1851851851851851</v>
      </c>
      <c r="J27">
        <v>26</v>
      </c>
      <c r="K27">
        <v>16</v>
      </c>
      <c r="L27">
        <f>J27+K27</f>
        <v>42</v>
      </c>
    </row>
    <row r="28" spans="1:12">
      <c r="A28" t="s">
        <v>41</v>
      </c>
      <c r="B28">
        <v>30000</v>
      </c>
      <c r="C28">
        <v>35000</v>
      </c>
      <c r="D28">
        <v>50000</v>
      </c>
      <c r="E28">
        <v>55000</v>
      </c>
      <c r="F28">
        <v>42500</v>
      </c>
      <c r="G28">
        <v>47314</v>
      </c>
      <c r="I28" s="1">
        <f>(G28-F28)*100/F28</f>
        <v>11.327058823529411</v>
      </c>
      <c r="J28">
        <v>13</v>
      </c>
      <c r="K28">
        <v>30</v>
      </c>
      <c r="L28">
        <f>J28+K28</f>
        <v>43</v>
      </c>
    </row>
    <row r="29" spans="1:12">
      <c r="A29" t="s">
        <v>33</v>
      </c>
      <c r="B29">
        <v>40000</v>
      </c>
      <c r="C29">
        <v>50000</v>
      </c>
      <c r="D29">
        <v>57000</v>
      </c>
      <c r="E29">
        <v>60000</v>
      </c>
      <c r="F29">
        <v>53500</v>
      </c>
      <c r="G29">
        <v>57500</v>
      </c>
      <c r="I29" s="1">
        <f>(G29-F29)*100/F29</f>
        <v>7.4766355140186915</v>
      </c>
      <c r="J29">
        <v>20</v>
      </c>
      <c r="K29">
        <v>25</v>
      </c>
      <c r="L29">
        <f>J29+K29</f>
        <v>45</v>
      </c>
    </row>
    <row r="30" spans="1:12">
      <c r="A30" t="s">
        <v>26</v>
      </c>
      <c r="B30">
        <v>65000</v>
      </c>
      <c r="C30">
        <v>60000</v>
      </c>
      <c r="D30">
        <v>60000</v>
      </c>
      <c r="E30">
        <v>65000</v>
      </c>
      <c r="F30">
        <v>60000</v>
      </c>
      <c r="G30">
        <v>64000</v>
      </c>
      <c r="I30" s="1">
        <f>(G30-F30)*100/F30</f>
        <v>6.666666666666667</v>
      </c>
      <c r="J30">
        <v>24</v>
      </c>
      <c r="K30">
        <v>22</v>
      </c>
      <c r="L30">
        <f>J30+K30</f>
        <v>46</v>
      </c>
    </row>
    <row r="31" spans="1:12">
      <c r="A31" t="s">
        <v>28</v>
      </c>
      <c r="B31">
        <v>50000</v>
      </c>
      <c r="C31">
        <v>60000</v>
      </c>
      <c r="D31">
        <v>55000</v>
      </c>
      <c r="E31">
        <v>58750</v>
      </c>
      <c r="F31">
        <v>57500</v>
      </c>
      <c r="G31">
        <v>60000</v>
      </c>
      <c r="I31" s="1">
        <f>(G31-F31)*100/F31</f>
        <v>4.3478260869565215</v>
      </c>
      <c r="J31">
        <v>29</v>
      </c>
      <c r="K31">
        <v>23</v>
      </c>
      <c r="L31">
        <f>J31+K31</f>
        <v>52</v>
      </c>
    </row>
    <row r="32" spans="1:12">
      <c r="A32" t="s">
        <v>36</v>
      </c>
      <c r="B32">
        <v>45000</v>
      </c>
      <c r="C32">
        <v>50000</v>
      </c>
      <c r="D32">
        <v>50000</v>
      </c>
      <c r="E32">
        <v>50000</v>
      </c>
      <c r="F32">
        <v>50000</v>
      </c>
      <c r="G32">
        <v>52500</v>
      </c>
      <c r="I32" s="1">
        <f>(G32-F32)*100/F32</f>
        <v>5</v>
      </c>
      <c r="J32">
        <v>27</v>
      </c>
      <c r="K32">
        <v>28</v>
      </c>
      <c r="L32">
        <f>J32+K32</f>
        <v>55</v>
      </c>
    </row>
  </sheetData>
  <autoFilter ref="A1:L1">
    <sortState ref="A2:L32">
      <sortCondition ref="L1"/>
    </sortState>
  </autoFilter>
  <conditionalFormatting sqref="I2:I3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3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selection activeCell="F2" sqref="F2:F32"/>
    </sheetView>
  </sheetViews>
  <sheetFormatPr defaultRowHeight="14.6"/>
  <cols>
    <col min="1" max="1" width="14.69140625" bestFit="1" customWidth="1"/>
    <col min="2" max="2" width="12" bestFit="1" customWidth="1"/>
    <col min="3" max="4" width="13.3046875" bestFit="1" customWidth="1"/>
    <col min="5" max="5" width="10.3046875" bestFit="1" customWidth="1"/>
    <col min="6" max="6" width="8.5351562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25</v>
      </c>
      <c r="B2">
        <v>45000</v>
      </c>
      <c r="C2">
        <v>60000</v>
      </c>
      <c r="D2">
        <v>80000</v>
      </c>
      <c r="E2">
        <v>100000</v>
      </c>
      <c r="F2" t="s">
        <v>53</v>
      </c>
    </row>
    <row r="3" spans="1:6">
      <c r="A3" t="s">
        <v>20</v>
      </c>
      <c r="B3">
        <v>90000</v>
      </c>
      <c r="C3">
        <v>80000</v>
      </c>
      <c r="D3">
        <v>80000</v>
      </c>
      <c r="E3">
        <v>85000</v>
      </c>
      <c r="F3" t="s">
        <v>18</v>
      </c>
    </row>
    <row r="4" spans="1:6">
      <c r="A4" t="s">
        <v>15</v>
      </c>
      <c r="B4">
        <v>60000</v>
      </c>
      <c r="C4">
        <v>90000</v>
      </c>
      <c r="D4">
        <v>100000</v>
      </c>
      <c r="E4">
        <v>110000</v>
      </c>
      <c r="F4" t="s">
        <v>14</v>
      </c>
    </row>
    <row r="5" spans="1:6">
      <c r="A5" t="s">
        <v>38</v>
      </c>
      <c r="B5">
        <v>31000</v>
      </c>
      <c r="C5">
        <v>40000</v>
      </c>
      <c r="D5">
        <v>70000</v>
      </c>
      <c r="E5">
        <v>65000</v>
      </c>
      <c r="F5" t="s">
        <v>58</v>
      </c>
    </row>
    <row r="6" spans="1:6">
      <c r="A6" t="s">
        <v>8</v>
      </c>
      <c r="B6">
        <v>60000</v>
      </c>
      <c r="C6">
        <v>100000</v>
      </c>
      <c r="D6">
        <v>150000</v>
      </c>
      <c r="E6">
        <v>200000</v>
      </c>
      <c r="F6" t="s">
        <v>45</v>
      </c>
    </row>
    <row r="7" spans="1:6">
      <c r="A7" t="s">
        <v>11</v>
      </c>
      <c r="B7">
        <v>65200</v>
      </c>
      <c r="C7">
        <v>100000</v>
      </c>
      <c r="D7">
        <v>130000</v>
      </c>
      <c r="E7">
        <v>129000</v>
      </c>
      <c r="F7" t="s">
        <v>10</v>
      </c>
    </row>
    <row r="8" spans="1:6">
      <c r="A8" t="s">
        <v>26</v>
      </c>
      <c r="B8">
        <v>70000</v>
      </c>
      <c r="C8">
        <v>65000</v>
      </c>
      <c r="D8">
        <v>63000</v>
      </c>
      <c r="E8">
        <v>70000</v>
      </c>
      <c r="F8" t="s">
        <v>56</v>
      </c>
    </row>
    <row r="9" spans="1:6">
      <c r="A9" t="s">
        <v>24</v>
      </c>
      <c r="B9">
        <v>85000</v>
      </c>
      <c r="C9">
        <v>70000</v>
      </c>
      <c r="D9">
        <v>70000</v>
      </c>
      <c r="E9">
        <v>60000</v>
      </c>
      <c r="F9" t="s">
        <v>53</v>
      </c>
    </row>
    <row r="10" spans="1:6">
      <c r="A10" t="s">
        <v>32</v>
      </c>
      <c r="B10">
        <v>40500</v>
      </c>
      <c r="C10">
        <v>52200</v>
      </c>
      <c r="D10">
        <v>85000</v>
      </c>
      <c r="F10" t="s">
        <v>54</v>
      </c>
    </row>
    <row r="11" spans="1:6">
      <c r="A11" t="s">
        <v>7</v>
      </c>
      <c r="B11">
        <v>65000</v>
      </c>
      <c r="C11">
        <v>130000</v>
      </c>
      <c r="D11">
        <v>170000</v>
      </c>
      <c r="E11">
        <v>150000</v>
      </c>
      <c r="F11" t="s">
        <v>44</v>
      </c>
    </row>
    <row r="12" spans="1:6">
      <c r="A12" t="s">
        <v>33</v>
      </c>
      <c r="B12">
        <v>45000</v>
      </c>
      <c r="C12">
        <v>55000</v>
      </c>
      <c r="D12">
        <v>60000</v>
      </c>
      <c r="E12">
        <v>60000</v>
      </c>
      <c r="F12" t="s">
        <v>29</v>
      </c>
    </row>
    <row r="13" spans="1:6">
      <c r="A13" t="s">
        <v>16</v>
      </c>
      <c r="B13">
        <v>60000</v>
      </c>
      <c r="C13">
        <v>80000</v>
      </c>
      <c r="D13">
        <v>100000</v>
      </c>
      <c r="E13">
        <v>100000</v>
      </c>
      <c r="F13" t="s">
        <v>48</v>
      </c>
    </row>
    <row r="14" spans="1:6">
      <c r="A14" t="s">
        <v>9</v>
      </c>
      <c r="B14">
        <v>55532</v>
      </c>
      <c r="C14">
        <v>89000</v>
      </c>
      <c r="D14">
        <v>97820</v>
      </c>
      <c r="E14">
        <v>78130</v>
      </c>
      <c r="F14" t="s">
        <v>47</v>
      </c>
    </row>
    <row r="15" spans="1:6">
      <c r="A15" t="s">
        <v>34</v>
      </c>
      <c r="B15">
        <v>50000</v>
      </c>
      <c r="C15">
        <v>50000</v>
      </c>
      <c r="D15">
        <v>65650</v>
      </c>
      <c r="E15">
        <v>108000</v>
      </c>
      <c r="F15" t="s">
        <v>57</v>
      </c>
    </row>
    <row r="16" spans="1:6">
      <c r="A16" t="s">
        <v>19</v>
      </c>
      <c r="B16">
        <v>58000</v>
      </c>
      <c r="C16">
        <v>80000</v>
      </c>
      <c r="D16">
        <v>100000</v>
      </c>
      <c r="E16">
        <v>120000</v>
      </c>
      <c r="F16" t="s">
        <v>48</v>
      </c>
    </row>
    <row r="17" spans="1:6">
      <c r="A17" t="s">
        <v>5</v>
      </c>
      <c r="B17">
        <v>55000</v>
      </c>
      <c r="C17">
        <v>100000</v>
      </c>
      <c r="D17">
        <v>200000</v>
      </c>
      <c r="E17">
        <v>230000</v>
      </c>
      <c r="F17" t="s">
        <v>44</v>
      </c>
    </row>
    <row r="18" spans="1:6">
      <c r="A18" t="s">
        <v>36</v>
      </c>
      <c r="B18">
        <v>47000</v>
      </c>
      <c r="C18">
        <v>55000</v>
      </c>
      <c r="D18">
        <v>50000</v>
      </c>
      <c r="E18">
        <v>40000</v>
      </c>
      <c r="F18" t="s">
        <v>35</v>
      </c>
    </row>
    <row r="19" spans="1:6">
      <c r="A19" t="s">
        <v>40</v>
      </c>
      <c r="B19">
        <v>30000</v>
      </c>
      <c r="C19">
        <v>40000</v>
      </c>
      <c r="D19">
        <v>60000</v>
      </c>
      <c r="E19">
        <v>47500</v>
      </c>
      <c r="F19" t="s">
        <v>37</v>
      </c>
    </row>
    <row r="20" spans="1:6">
      <c r="A20" t="s">
        <v>31</v>
      </c>
      <c r="B20">
        <v>80000</v>
      </c>
      <c r="C20">
        <v>70000</v>
      </c>
      <c r="D20">
        <v>70000</v>
      </c>
      <c r="E20">
        <v>70000</v>
      </c>
      <c r="F20" t="s">
        <v>53</v>
      </c>
    </row>
    <row r="21" spans="1:6">
      <c r="A21" t="s">
        <v>42</v>
      </c>
      <c r="B21">
        <v>30000</v>
      </c>
      <c r="C21">
        <v>40000</v>
      </c>
      <c r="D21">
        <v>36850</v>
      </c>
      <c r="E21">
        <v>23800</v>
      </c>
      <c r="F21" t="s">
        <v>60</v>
      </c>
    </row>
    <row r="22" spans="1:6">
      <c r="A22" t="s">
        <v>28</v>
      </c>
      <c r="B22">
        <v>50000</v>
      </c>
      <c r="C22">
        <v>60000</v>
      </c>
      <c r="D22">
        <v>60000</v>
      </c>
      <c r="E22">
        <v>65250</v>
      </c>
      <c r="F22" t="s">
        <v>27</v>
      </c>
    </row>
    <row r="23" spans="1:6">
      <c r="A23" t="s">
        <v>12</v>
      </c>
      <c r="B23">
        <v>75000</v>
      </c>
      <c r="C23">
        <v>100000</v>
      </c>
      <c r="D23">
        <v>137000</v>
      </c>
      <c r="E23">
        <v>150000</v>
      </c>
      <c r="F23" t="s">
        <v>46</v>
      </c>
    </row>
    <row r="24" spans="1:6">
      <c r="A24" t="s">
        <v>17</v>
      </c>
      <c r="B24">
        <v>70000</v>
      </c>
      <c r="C24">
        <v>85000</v>
      </c>
      <c r="D24">
        <v>90000</v>
      </c>
      <c r="E24">
        <v>80000</v>
      </c>
      <c r="F24" t="s">
        <v>49</v>
      </c>
    </row>
    <row r="25" spans="1:6">
      <c r="A25" t="s">
        <v>6</v>
      </c>
      <c r="B25">
        <v>60000</v>
      </c>
      <c r="C25">
        <v>220000</v>
      </c>
      <c r="D25">
        <v>150000</v>
      </c>
      <c r="E25">
        <v>100000</v>
      </c>
      <c r="F25" t="s">
        <v>43</v>
      </c>
    </row>
    <row r="26" spans="1:6">
      <c r="A26" t="s">
        <v>30</v>
      </c>
      <c r="B26">
        <v>60000</v>
      </c>
      <c r="C26">
        <v>69000</v>
      </c>
      <c r="D26">
        <v>60000</v>
      </c>
      <c r="E26">
        <v>60000</v>
      </c>
      <c r="F26" t="s">
        <v>55</v>
      </c>
    </row>
    <row r="27" spans="1:6">
      <c r="A27" t="s">
        <v>39</v>
      </c>
      <c r="B27">
        <v>31000</v>
      </c>
      <c r="C27">
        <v>40000</v>
      </c>
      <c r="D27">
        <v>70000</v>
      </c>
      <c r="E27">
        <v>65000</v>
      </c>
      <c r="F27" t="s">
        <v>58</v>
      </c>
    </row>
    <row r="28" spans="1:6">
      <c r="A28" t="s">
        <v>41</v>
      </c>
      <c r="B28">
        <v>32500</v>
      </c>
      <c r="C28">
        <v>44628</v>
      </c>
      <c r="D28">
        <v>50000</v>
      </c>
      <c r="E28">
        <v>60000</v>
      </c>
      <c r="F28" t="s">
        <v>59</v>
      </c>
    </row>
    <row r="29" spans="1:6">
      <c r="A29" t="s">
        <v>23</v>
      </c>
      <c r="B29">
        <v>51000</v>
      </c>
      <c r="C29">
        <v>62500</v>
      </c>
      <c r="D29">
        <v>84000</v>
      </c>
      <c r="E29">
        <v>80000</v>
      </c>
      <c r="F29" t="s">
        <v>50</v>
      </c>
    </row>
    <row r="30" spans="1:6">
      <c r="A30" t="s">
        <v>13</v>
      </c>
      <c r="B30">
        <v>60000</v>
      </c>
      <c r="C30">
        <v>100000</v>
      </c>
      <c r="D30">
        <v>130000</v>
      </c>
      <c r="E30">
        <v>120000</v>
      </c>
      <c r="F30" t="s">
        <v>10</v>
      </c>
    </row>
    <row r="31" spans="1:6">
      <c r="A31" t="s">
        <v>22</v>
      </c>
      <c r="B31">
        <v>60000</v>
      </c>
      <c r="C31">
        <v>70000</v>
      </c>
      <c r="D31">
        <v>75000</v>
      </c>
      <c r="E31">
        <v>75000</v>
      </c>
      <c r="F31" t="s">
        <v>51</v>
      </c>
    </row>
    <row r="32" spans="1:6">
      <c r="A32" t="s">
        <v>21</v>
      </c>
      <c r="B32">
        <v>40000</v>
      </c>
      <c r="C32">
        <v>62000</v>
      </c>
      <c r="D32">
        <v>80000</v>
      </c>
      <c r="E32">
        <v>100000</v>
      </c>
      <c r="F32" t="s">
        <v>52</v>
      </c>
    </row>
  </sheetData>
  <autoFilter ref="A1:F1">
    <sortState ref="A2:F32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L3" sqref="L3"/>
    </sheetView>
  </sheetViews>
  <sheetFormatPr defaultRowHeight="14.6"/>
  <cols>
    <col min="1" max="1" width="14.84375" bestFit="1" customWidth="1"/>
    <col min="2" max="2" width="12" bestFit="1" customWidth="1"/>
    <col min="3" max="4" width="13.3046875" bestFit="1" customWidth="1"/>
    <col min="5" max="5" width="10.3046875" bestFit="1" customWidth="1"/>
    <col min="6" max="6" width="8.53515625" bestFit="1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>
      <c r="A2" t="s">
        <v>61</v>
      </c>
      <c r="B2">
        <v>70000</v>
      </c>
      <c r="C2">
        <v>152000</v>
      </c>
      <c r="D2">
        <v>300000</v>
      </c>
      <c r="E2">
        <v>315000</v>
      </c>
      <c r="F2">
        <v>226000</v>
      </c>
      <c r="G2">
        <v>300000</v>
      </c>
      <c r="I2" s="1">
        <f>(G2-F2)*100/F2</f>
        <v>32.743362831858406</v>
      </c>
      <c r="J2">
        <v>2</v>
      </c>
      <c r="K2">
        <v>1</v>
      </c>
      <c r="L2">
        <f>J2+K2</f>
        <v>3</v>
      </c>
    </row>
    <row r="3" spans="1:12">
      <c r="A3" t="s">
        <v>64</v>
      </c>
      <c r="B3">
        <v>80000</v>
      </c>
      <c r="C3">
        <v>150000</v>
      </c>
      <c r="D3">
        <v>250000</v>
      </c>
      <c r="F3">
        <v>200000</v>
      </c>
      <c r="G3">
        <v>217500</v>
      </c>
      <c r="I3" s="1">
        <f>(G3-F3)*100/F3</f>
        <v>8.75</v>
      </c>
      <c r="J3">
        <v>6</v>
      </c>
      <c r="K3">
        <v>4</v>
      </c>
      <c r="L3">
        <f>J3+K3</f>
        <v>10</v>
      </c>
    </row>
    <row r="4" spans="1:12">
      <c r="A4" t="s">
        <v>67</v>
      </c>
      <c r="C4">
        <v>190000</v>
      </c>
      <c r="D4">
        <v>200000</v>
      </c>
      <c r="F4">
        <v>195000</v>
      </c>
      <c r="G4">
        <v>242500</v>
      </c>
      <c r="I4" s="1">
        <f>(G4-F4)*100/F4</f>
        <v>24.358974358974358</v>
      </c>
      <c r="J4">
        <v>3</v>
      </c>
      <c r="K4">
        <v>7</v>
      </c>
      <c r="L4">
        <f>J4+K4</f>
        <v>10</v>
      </c>
    </row>
    <row r="5" spans="1:12">
      <c r="A5" t="s">
        <v>72</v>
      </c>
      <c r="B5">
        <v>40000</v>
      </c>
      <c r="C5">
        <v>110000</v>
      </c>
      <c r="D5">
        <v>240000</v>
      </c>
      <c r="E5">
        <v>290000</v>
      </c>
      <c r="F5">
        <v>175000</v>
      </c>
      <c r="G5">
        <v>276500</v>
      </c>
      <c r="I5" s="1">
        <f>(G5-F5)*100/F5</f>
        <v>58</v>
      </c>
      <c r="J5">
        <v>1</v>
      </c>
      <c r="K5">
        <v>12</v>
      </c>
      <c r="L5">
        <f>J5+K5</f>
        <v>13</v>
      </c>
    </row>
    <row r="6" spans="1:12">
      <c r="A6" t="s">
        <v>62</v>
      </c>
      <c r="C6">
        <v>175000</v>
      </c>
      <c r="D6">
        <v>275000</v>
      </c>
      <c r="F6">
        <v>225000</v>
      </c>
      <c r="G6">
        <v>212500</v>
      </c>
      <c r="I6" s="1">
        <f>(G6-F6)*100/F6</f>
        <v>-5.5555555555555554</v>
      </c>
      <c r="J6">
        <v>15</v>
      </c>
      <c r="K6">
        <v>2</v>
      </c>
      <c r="L6">
        <f>J6+K6</f>
        <v>17</v>
      </c>
    </row>
    <row r="7" spans="1:12">
      <c r="A7" t="s">
        <v>65</v>
      </c>
      <c r="B7">
        <v>64500</v>
      </c>
      <c r="C7">
        <v>150000</v>
      </c>
      <c r="D7">
        <v>250000</v>
      </c>
      <c r="E7">
        <v>300000</v>
      </c>
      <c r="F7">
        <v>200000</v>
      </c>
      <c r="G7">
        <v>200000</v>
      </c>
      <c r="I7" s="1">
        <f>(G7-F7)*100/F7</f>
        <v>0</v>
      </c>
      <c r="J7">
        <v>13</v>
      </c>
      <c r="K7">
        <v>5</v>
      </c>
      <c r="L7">
        <f>J7+K7</f>
        <v>18</v>
      </c>
    </row>
    <row r="8" spans="1:12">
      <c r="A8" t="s">
        <v>63</v>
      </c>
      <c r="B8">
        <v>105000</v>
      </c>
      <c r="C8">
        <v>150000</v>
      </c>
      <c r="D8">
        <v>300000</v>
      </c>
      <c r="E8">
        <v>350000</v>
      </c>
      <c r="F8">
        <v>225000</v>
      </c>
      <c r="G8">
        <v>205000</v>
      </c>
      <c r="I8" s="1">
        <f>(G8-F8)*100/F8</f>
        <v>-8.8888888888888893</v>
      </c>
      <c r="J8">
        <v>16</v>
      </c>
      <c r="K8">
        <v>3</v>
      </c>
      <c r="L8">
        <f>J8+K8</f>
        <v>19</v>
      </c>
    </row>
    <row r="9" spans="1:12">
      <c r="A9" t="s">
        <v>71</v>
      </c>
      <c r="B9">
        <v>70000</v>
      </c>
      <c r="C9">
        <v>130000</v>
      </c>
      <c r="D9">
        <v>230000</v>
      </c>
      <c r="E9">
        <v>350000</v>
      </c>
      <c r="F9">
        <v>180000</v>
      </c>
      <c r="G9">
        <v>192500</v>
      </c>
      <c r="I9" s="1">
        <f>(G9-F9)*100/F9</f>
        <v>6.9444444444444446</v>
      </c>
      <c r="J9">
        <v>8</v>
      </c>
      <c r="K9">
        <v>11</v>
      </c>
      <c r="L9">
        <f>J9+K9</f>
        <v>19</v>
      </c>
    </row>
    <row r="10" spans="1:12">
      <c r="A10" t="s">
        <v>78</v>
      </c>
      <c r="B10">
        <v>76750</v>
      </c>
      <c r="C10">
        <v>100000</v>
      </c>
      <c r="D10">
        <v>170000</v>
      </c>
      <c r="E10">
        <v>230000</v>
      </c>
      <c r="F10">
        <v>135000</v>
      </c>
      <c r="G10">
        <v>160000</v>
      </c>
      <c r="I10" s="1">
        <f>(G10-F10)*100/F10</f>
        <v>18.518518518518519</v>
      </c>
      <c r="J10">
        <v>4</v>
      </c>
      <c r="K10">
        <v>17</v>
      </c>
      <c r="L10">
        <f>J10+K10</f>
        <v>21</v>
      </c>
    </row>
    <row r="11" spans="1:12">
      <c r="A11" t="s">
        <v>70</v>
      </c>
      <c r="B11">
        <v>50000</v>
      </c>
      <c r="C11">
        <v>115000</v>
      </c>
      <c r="D11">
        <v>250000</v>
      </c>
      <c r="E11">
        <v>185000</v>
      </c>
      <c r="F11">
        <v>182500</v>
      </c>
      <c r="G11">
        <v>185000</v>
      </c>
      <c r="I11" s="1">
        <f>(G11-F11)*100/F11</f>
        <v>1.3698630136986301</v>
      </c>
      <c r="J11">
        <v>12</v>
      </c>
      <c r="K11">
        <v>10</v>
      </c>
      <c r="L11">
        <f>J11+K11</f>
        <v>22</v>
      </c>
    </row>
    <row r="12" spans="1:12">
      <c r="A12" t="s">
        <v>75</v>
      </c>
      <c r="B12">
        <v>36800</v>
      </c>
      <c r="C12">
        <v>120000</v>
      </c>
      <c r="D12">
        <v>180000</v>
      </c>
      <c r="E12">
        <v>200000</v>
      </c>
      <c r="F12">
        <v>150000</v>
      </c>
      <c r="G12">
        <v>160000</v>
      </c>
      <c r="I12" s="1">
        <f>(G12-F12)*100/F12</f>
        <v>6.666666666666667</v>
      </c>
      <c r="J12">
        <v>9</v>
      </c>
      <c r="K12">
        <v>14</v>
      </c>
      <c r="L12">
        <f>J12+K12</f>
        <v>23</v>
      </c>
    </row>
    <row r="13" spans="1:12">
      <c r="A13" t="s">
        <v>73</v>
      </c>
      <c r="B13">
        <v>50000</v>
      </c>
      <c r="C13">
        <v>120000</v>
      </c>
      <c r="D13">
        <v>220000</v>
      </c>
      <c r="E13">
        <v>250000</v>
      </c>
      <c r="F13">
        <v>170000</v>
      </c>
      <c r="G13">
        <v>180000</v>
      </c>
      <c r="I13" s="1">
        <f>(G13-F13)*100/F13</f>
        <v>5.882352941176471</v>
      </c>
      <c r="J13">
        <v>11</v>
      </c>
      <c r="K13">
        <v>13</v>
      </c>
      <c r="L13">
        <f>J13+K13</f>
        <v>24</v>
      </c>
    </row>
    <row r="14" spans="1:12">
      <c r="A14" t="s">
        <v>79</v>
      </c>
      <c r="B14">
        <v>50000</v>
      </c>
      <c r="C14">
        <v>90000</v>
      </c>
      <c r="D14">
        <v>170000</v>
      </c>
      <c r="E14">
        <v>200000</v>
      </c>
      <c r="F14">
        <v>130000</v>
      </c>
      <c r="G14">
        <v>148000</v>
      </c>
      <c r="I14" s="1">
        <f>(G14-F14)*100/F14</f>
        <v>13.846153846153847</v>
      </c>
      <c r="J14">
        <v>5</v>
      </c>
      <c r="K14">
        <v>19</v>
      </c>
      <c r="L14">
        <f>J14+K14</f>
        <v>24</v>
      </c>
    </row>
    <row r="15" spans="1:12">
      <c r="A15" t="s">
        <v>66</v>
      </c>
      <c r="B15">
        <v>34000</v>
      </c>
      <c r="C15">
        <v>100000</v>
      </c>
      <c r="D15">
        <v>300000</v>
      </c>
      <c r="E15">
        <v>380000</v>
      </c>
      <c r="F15">
        <v>200000</v>
      </c>
      <c r="G15">
        <v>143000</v>
      </c>
      <c r="I15" s="1">
        <f>(G15-F15)*100/F15</f>
        <v>-28.5</v>
      </c>
      <c r="J15">
        <v>19</v>
      </c>
      <c r="K15">
        <v>6</v>
      </c>
      <c r="L15">
        <f>J15+K15</f>
        <v>25</v>
      </c>
    </row>
    <row r="16" spans="1:12">
      <c r="A16" t="s">
        <v>74</v>
      </c>
      <c r="B16">
        <v>60000</v>
      </c>
      <c r="C16">
        <v>100000</v>
      </c>
      <c r="D16">
        <v>200000</v>
      </c>
      <c r="E16">
        <v>250000</v>
      </c>
      <c r="F16">
        <v>150000</v>
      </c>
      <c r="G16">
        <v>160000</v>
      </c>
      <c r="I16" s="1">
        <f>(G16-F16)*100/F16</f>
        <v>6.666666666666667</v>
      </c>
      <c r="J16">
        <v>10</v>
      </c>
      <c r="K16">
        <v>15</v>
      </c>
      <c r="L16">
        <f>J16+K16</f>
        <v>25</v>
      </c>
    </row>
    <row r="17" spans="1:12">
      <c r="A17" t="s">
        <v>68</v>
      </c>
      <c r="B17">
        <v>45000</v>
      </c>
      <c r="C17">
        <v>187500</v>
      </c>
      <c r="D17">
        <v>200000</v>
      </c>
      <c r="E17">
        <v>300000</v>
      </c>
      <c r="F17">
        <v>193750</v>
      </c>
      <c r="G17">
        <v>155000</v>
      </c>
      <c r="I17" s="1">
        <f>(G17-F17)*100/F17</f>
        <v>-20</v>
      </c>
      <c r="J17">
        <v>18</v>
      </c>
      <c r="K17">
        <v>8</v>
      </c>
      <c r="L17">
        <f>J17+K17</f>
        <v>26</v>
      </c>
    </row>
    <row r="18" spans="1:12">
      <c r="A18" t="s">
        <v>80</v>
      </c>
      <c r="B18">
        <v>45000</v>
      </c>
      <c r="C18">
        <v>100000</v>
      </c>
      <c r="D18">
        <v>160000</v>
      </c>
      <c r="E18">
        <v>225000</v>
      </c>
      <c r="F18">
        <v>130000</v>
      </c>
      <c r="G18">
        <v>140000</v>
      </c>
      <c r="I18" s="1">
        <f>(G18-F18)*100/F18</f>
        <v>7.6923076923076925</v>
      </c>
      <c r="J18">
        <v>7</v>
      </c>
      <c r="K18">
        <v>20</v>
      </c>
      <c r="L18">
        <f>J18+K18</f>
        <v>27</v>
      </c>
    </row>
    <row r="19" spans="1:12">
      <c r="A19" t="s">
        <v>69</v>
      </c>
      <c r="C19">
        <v>150000</v>
      </c>
      <c r="D19">
        <v>225000</v>
      </c>
      <c r="F19">
        <v>187500</v>
      </c>
      <c r="I19" s="1">
        <f>(G19-F19)*100/F19</f>
        <v>-100</v>
      </c>
      <c r="J19">
        <v>20</v>
      </c>
      <c r="K19">
        <v>9</v>
      </c>
      <c r="L19">
        <f>J19+K19</f>
        <v>29</v>
      </c>
    </row>
    <row r="20" spans="1:12">
      <c r="A20" t="s">
        <v>77</v>
      </c>
      <c r="B20">
        <v>40000</v>
      </c>
      <c r="C20">
        <v>90000</v>
      </c>
      <c r="D20">
        <v>180000</v>
      </c>
      <c r="E20">
        <v>285000</v>
      </c>
      <c r="F20">
        <v>135000</v>
      </c>
      <c r="G20">
        <v>135000</v>
      </c>
      <c r="I20" s="1">
        <f>(G20-F20)*100/F20</f>
        <v>0</v>
      </c>
      <c r="J20">
        <v>14</v>
      </c>
      <c r="K20">
        <v>18</v>
      </c>
      <c r="L20">
        <f>J20+K20</f>
        <v>32</v>
      </c>
    </row>
    <row r="21" spans="1:12">
      <c r="A21" t="s">
        <v>76</v>
      </c>
      <c r="B21">
        <v>60000</v>
      </c>
      <c r="C21">
        <v>100000</v>
      </c>
      <c r="D21">
        <v>180000</v>
      </c>
      <c r="E21">
        <v>300000</v>
      </c>
      <c r="F21">
        <v>140000</v>
      </c>
      <c r="G21">
        <v>125000</v>
      </c>
      <c r="I21" s="1">
        <f>(G21-F21)*100/F21</f>
        <v>-10.714285714285714</v>
      </c>
      <c r="J21">
        <v>17</v>
      </c>
      <c r="K21">
        <v>16</v>
      </c>
      <c r="L21">
        <f>J21+K21</f>
        <v>33</v>
      </c>
    </row>
  </sheetData>
  <autoFilter ref="A1:L1">
    <sortState ref="A2:L21">
      <sortCondition ref="L1"/>
    </sortState>
  </autoFilter>
  <conditionalFormatting sqref="I2:I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H2" sqref="H2"/>
    </sheetView>
  </sheetViews>
  <sheetFormatPr defaultRowHeight="14.6"/>
  <cols>
    <col min="1" max="1" width="14.84375" bestFit="1" customWidth="1"/>
    <col min="2" max="2" width="12" bestFit="1" customWidth="1"/>
    <col min="3" max="4" width="13.3046875" bestFit="1" customWidth="1"/>
    <col min="5" max="5" width="10.3046875" bestFit="1" customWidth="1"/>
    <col min="6" max="6" width="8.5351562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75</v>
      </c>
      <c r="B2">
        <v>50000</v>
      </c>
      <c r="C2">
        <v>120000</v>
      </c>
      <c r="D2">
        <v>200000</v>
      </c>
      <c r="E2">
        <v>230000</v>
      </c>
      <c r="F2">
        <v>160000</v>
      </c>
    </row>
    <row r="3" spans="1:6">
      <c r="A3" t="s">
        <v>69</v>
      </c>
      <c r="B3">
        <v>40000</v>
      </c>
    </row>
    <row r="4" spans="1:6">
      <c r="A4" t="s">
        <v>73</v>
      </c>
      <c r="B4">
        <v>70000</v>
      </c>
      <c r="C4">
        <v>110000</v>
      </c>
      <c r="D4">
        <v>250000</v>
      </c>
      <c r="E4">
        <v>340000</v>
      </c>
      <c r="F4">
        <v>180000</v>
      </c>
    </row>
    <row r="5" spans="1:6">
      <c r="A5" t="s">
        <v>76</v>
      </c>
      <c r="B5">
        <v>70000</v>
      </c>
      <c r="C5">
        <v>100000</v>
      </c>
      <c r="D5">
        <v>150000</v>
      </c>
      <c r="E5">
        <v>350000</v>
      </c>
      <c r="F5">
        <v>125000</v>
      </c>
    </row>
    <row r="6" spans="1:6">
      <c r="A6" t="s">
        <v>78</v>
      </c>
      <c r="B6">
        <v>67500</v>
      </c>
      <c r="C6">
        <v>120000</v>
      </c>
      <c r="D6">
        <v>200000</v>
      </c>
      <c r="E6">
        <v>230000</v>
      </c>
      <c r="F6">
        <v>160000</v>
      </c>
    </row>
    <row r="7" spans="1:6">
      <c r="A7" t="s">
        <v>64</v>
      </c>
      <c r="B7">
        <v>70000</v>
      </c>
      <c r="C7">
        <v>135000</v>
      </c>
      <c r="D7">
        <v>300000</v>
      </c>
      <c r="E7">
        <v>390000</v>
      </c>
      <c r="F7">
        <v>217500</v>
      </c>
    </row>
    <row r="8" spans="1:6">
      <c r="A8" t="s">
        <v>61</v>
      </c>
      <c r="B8">
        <v>25000</v>
      </c>
      <c r="C8">
        <v>300000</v>
      </c>
      <c r="D8">
        <v>300000</v>
      </c>
      <c r="E8">
        <v>550000</v>
      </c>
      <c r="F8">
        <v>300000</v>
      </c>
    </row>
    <row r="9" spans="1:6">
      <c r="A9" t="s">
        <v>72</v>
      </c>
      <c r="B9">
        <v>60000</v>
      </c>
      <c r="C9">
        <v>273000</v>
      </c>
      <c r="D9">
        <v>280000</v>
      </c>
      <c r="F9">
        <v>276500</v>
      </c>
    </row>
    <row r="10" spans="1:6">
      <c r="A10" t="s">
        <v>65</v>
      </c>
      <c r="B10">
        <v>40000</v>
      </c>
      <c r="C10">
        <v>150000</v>
      </c>
      <c r="D10">
        <v>250000</v>
      </c>
      <c r="E10">
        <v>350000</v>
      </c>
      <c r="F10">
        <v>200000</v>
      </c>
    </row>
    <row r="11" spans="1:6">
      <c r="A11" t="s">
        <v>79</v>
      </c>
      <c r="B11">
        <v>90000</v>
      </c>
      <c r="C11">
        <v>96000</v>
      </c>
      <c r="D11">
        <v>200000</v>
      </c>
      <c r="E11">
        <v>250000</v>
      </c>
      <c r="F11">
        <v>148000</v>
      </c>
    </row>
    <row r="12" spans="1:6">
      <c r="A12" t="s">
        <v>63</v>
      </c>
      <c r="B12">
        <v>150000</v>
      </c>
      <c r="C12">
        <v>160000</v>
      </c>
      <c r="D12">
        <v>250000</v>
      </c>
      <c r="E12">
        <v>375000</v>
      </c>
      <c r="F12">
        <v>205000</v>
      </c>
    </row>
    <row r="13" spans="1:6">
      <c r="A13" t="s">
        <v>70</v>
      </c>
      <c r="B13">
        <v>60000</v>
      </c>
      <c r="C13">
        <v>120000</v>
      </c>
      <c r="D13">
        <v>250000</v>
      </c>
      <c r="E13">
        <v>328750</v>
      </c>
      <c r="F13">
        <v>185000</v>
      </c>
    </row>
    <row r="14" spans="1:6">
      <c r="A14" t="s">
        <v>71</v>
      </c>
      <c r="B14">
        <v>70000</v>
      </c>
      <c r="C14">
        <v>135000</v>
      </c>
      <c r="D14">
        <v>250000</v>
      </c>
      <c r="E14">
        <v>320000</v>
      </c>
      <c r="F14">
        <v>192500</v>
      </c>
    </row>
    <row r="15" spans="1:6">
      <c r="A15" t="s">
        <v>74</v>
      </c>
      <c r="B15">
        <v>70000</v>
      </c>
      <c r="C15">
        <v>120000</v>
      </c>
      <c r="D15">
        <v>200000</v>
      </c>
      <c r="E15">
        <v>250000</v>
      </c>
      <c r="F15">
        <v>160000</v>
      </c>
    </row>
    <row r="16" spans="1:6">
      <c r="A16" t="s">
        <v>80</v>
      </c>
      <c r="B16">
        <v>55000</v>
      </c>
      <c r="C16">
        <v>100000</v>
      </c>
      <c r="D16">
        <v>180000</v>
      </c>
      <c r="E16">
        <v>250000</v>
      </c>
      <c r="F16">
        <v>140000</v>
      </c>
    </row>
    <row r="17" spans="1:6">
      <c r="A17" t="s">
        <v>68</v>
      </c>
      <c r="B17">
        <v>60000</v>
      </c>
      <c r="C17">
        <v>110000</v>
      </c>
      <c r="D17">
        <v>200000</v>
      </c>
      <c r="E17">
        <v>260000</v>
      </c>
      <c r="F17">
        <v>155000</v>
      </c>
    </row>
    <row r="18" spans="1:6">
      <c r="A18" t="s">
        <v>77</v>
      </c>
      <c r="B18">
        <v>50000</v>
      </c>
      <c r="C18">
        <v>90000</v>
      </c>
      <c r="D18">
        <v>180000</v>
      </c>
      <c r="E18">
        <v>180000</v>
      </c>
      <c r="F18">
        <v>135000</v>
      </c>
    </row>
    <row r="19" spans="1:6">
      <c r="A19" t="s">
        <v>66</v>
      </c>
      <c r="C19">
        <v>86000</v>
      </c>
      <c r="D19">
        <v>200000</v>
      </c>
      <c r="F19">
        <v>143000</v>
      </c>
    </row>
    <row r="20" spans="1:6">
      <c r="A20" t="s">
        <v>67</v>
      </c>
      <c r="C20">
        <v>235000</v>
      </c>
      <c r="D20">
        <v>250000</v>
      </c>
      <c r="F20">
        <v>242500</v>
      </c>
    </row>
    <row r="21" spans="1:6">
      <c r="A21" t="s">
        <v>62</v>
      </c>
      <c r="B21">
        <v>470000</v>
      </c>
      <c r="C21">
        <v>75000</v>
      </c>
      <c r="D21">
        <v>350000</v>
      </c>
      <c r="E21">
        <v>300000</v>
      </c>
      <c r="F21">
        <v>212500</v>
      </c>
    </row>
  </sheetData>
  <autoFilter ref="A1:F1">
    <sortState ref="A2:F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Лист1!_2024_02_04</vt:lpstr>
      <vt:lpstr>Лист3!_2024_02_04</vt:lpstr>
      <vt:lpstr>Лист2!_2024_07_01</vt:lpstr>
      <vt:lpstr>Лист4!_2024_07_01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DFNO</dc:creator>
  <cp:lastModifiedBy>ksn</cp:lastModifiedBy>
  <dcterms:created xsi:type="dcterms:W3CDTF">2024-07-14T10:39:17Z</dcterms:created>
  <dcterms:modified xsi:type="dcterms:W3CDTF">2024-07-15T10:37:55Z</dcterms:modified>
</cp:coreProperties>
</file>